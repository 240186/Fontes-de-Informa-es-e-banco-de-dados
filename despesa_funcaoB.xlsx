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19FC9ECA-55F6-4566-9E8D-9B6A65BE915A}" xr6:coauthVersionLast="36" xr6:coauthVersionMax="36" xr10:uidLastSave="{00000000-0000-0000-0000-000000000000}"/>
  <bookViews>
    <workbookView xWindow="0" yWindow="0" windowWidth="21570" windowHeight="7890" activeTab="2" xr2:uid="{00000000-000D-0000-FFFF-FFFF00000000}"/>
  </bookViews>
  <sheets>
    <sheet name="despesa_funcao" sheetId="1" r:id="rId1"/>
    <sheet name="Análise" sheetId="2" r:id="rId2"/>
    <sheet name="Planilha2" sheetId="3" r:id="rId3"/>
  </sheets>
  <calcPr calcId="191029"/>
  <pivotCaches>
    <pivotCache cacheId="3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</calcChain>
</file>

<file path=xl/sharedStrings.xml><?xml version="1.0" encoding="utf-8"?>
<sst xmlns="http://schemas.openxmlformats.org/spreadsheetml/2006/main" count="2707" uniqueCount="568">
  <si>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</si>
  <si>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</si>
  <si>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</si>
  <si>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</si>
  <si>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</si>
  <si>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</si>
  <si>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</si>
  <si>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</si>
  <si>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</si>
  <si>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</si>
  <si>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</si>
  <si>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</si>
  <si>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</si>
  <si>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</si>
  <si>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</si>
  <si>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</si>
  <si>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</si>
  <si>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</si>
  <si>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</si>
  <si>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</si>
  <si>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</si>
  <si>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</si>
  <si>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</si>
  <si>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</si>
  <si>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</si>
  <si>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</si>
  <si>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</si>
  <si>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</si>
  <si>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</si>
  <si>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</si>
  <si>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</si>
  <si>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</si>
  <si>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</si>
  <si>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</si>
  <si>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</si>
  <si>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</si>
  <si>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</si>
  <si>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</si>
  <si>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</si>
  <si>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</si>
  <si>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</si>
  <si>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</si>
  <si>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</si>
  <si>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</si>
  <si>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</si>
  <si>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</si>
  <si>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</si>
  <si>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</si>
  <si>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</si>
  <si>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</si>
  <si>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</si>
  <si>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</si>
  <si>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</si>
  <si>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</si>
  <si>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</si>
  <si>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</si>
  <si>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</si>
  <si>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</si>
  <si>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</si>
  <si>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</si>
  <si>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</si>
  <si>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</si>
  <si>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</si>
  <si>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</si>
  <si>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</si>
  <si>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</si>
  <si>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</si>
  <si>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</si>
  <si>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</si>
  <si>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</si>
  <si>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</si>
  <si>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</si>
  <si>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</si>
  <si>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</si>
  <si>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</si>
  <si>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</si>
  <si>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</si>
  <si>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</si>
  <si>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</si>
  <si>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</si>
  <si>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</si>
  <si>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</si>
  <si>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</si>
  <si>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</si>
  <si>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</si>
  <si>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</si>
  <si>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</si>
  <si>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</si>
  <si>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</si>
  <si>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</si>
  <si>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</si>
  <si>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</si>
  <si>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</si>
  <si>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</si>
  <si>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</si>
  <si>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</si>
  <si>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</si>
  <si>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</si>
  <si>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</si>
  <si>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</si>
  <si>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</si>
  <si>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</si>
  <si>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</si>
  <si>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</si>
  <si>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</si>
  <si>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</si>
  <si>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</si>
  <si>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</si>
  <si>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</si>
  <si>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</si>
  <si>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</si>
  <si>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</si>
  <si>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</si>
  <si>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</si>
  <si>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</si>
  <si>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</si>
  <si>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</si>
  <si>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</si>
  <si>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</si>
  <si>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</si>
  <si>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</si>
  <si>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</si>
  <si>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</si>
  <si>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</si>
  <si>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</si>
  <si>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</si>
  <si>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</si>
  <si>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</si>
  <si>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</si>
  <si>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</si>
  <si>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</si>
  <si>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</si>
  <si>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</si>
  <si>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</si>
  <si>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</si>
  <si>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</si>
  <si>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</si>
  <si>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</si>
  <si>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</si>
  <si>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</si>
  <si>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</si>
  <si>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</si>
  <si>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</si>
  <si>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</si>
  <si>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</si>
  <si>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</si>
  <si>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</si>
  <si>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</si>
  <si>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</si>
  <si>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</si>
  <si>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</si>
  <si>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</si>
  <si>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</si>
  <si>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</si>
  <si>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</si>
  <si>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</si>
  <si>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</si>
  <si>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</si>
  <si>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</si>
  <si>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</si>
  <si>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</si>
  <si>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</si>
  <si>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</si>
  <si>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</si>
  <si>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</si>
  <si>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</si>
  <si>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</si>
  <si>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</si>
  <si>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</si>
  <si>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</si>
  <si>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</si>
  <si>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</si>
  <si>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</si>
  <si>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</si>
  <si>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</si>
  <si>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</si>
  <si>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</si>
  <si>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</si>
  <si>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</si>
  <si>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</si>
  <si>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</si>
  <si>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</si>
  <si>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</si>
  <si>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</si>
  <si>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</si>
  <si>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</si>
  <si>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</si>
  <si>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</si>
  <si>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</si>
  <si>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</si>
  <si>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</si>
  <si>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</si>
  <si>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</si>
  <si>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</si>
  <si>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</si>
  <si>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</si>
  <si>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</si>
  <si>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</si>
  <si>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</si>
  <si>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</si>
  <si>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</si>
  <si>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</si>
  <si>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</si>
  <si>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</si>
  <si>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</si>
  <si>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</si>
  <si>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</si>
  <si>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</si>
  <si>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</si>
  <si>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</si>
  <si>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</si>
  <si>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</si>
  <si>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</si>
  <si>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</si>
  <si>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</si>
  <si>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</si>
  <si>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</si>
  <si>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</si>
  <si>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</si>
  <si>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</si>
  <si>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</si>
  <si>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</si>
  <si>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</si>
  <si>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</si>
  <si>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</si>
  <si>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</si>
  <si>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</si>
  <si>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</si>
  <si>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</si>
  <si>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</si>
  <si>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</si>
  <si>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</si>
  <si>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</si>
  <si>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</si>
  <si>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</si>
  <si>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</si>
  <si>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</si>
  <si>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</si>
  <si>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</si>
  <si>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</si>
  <si>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</si>
  <si>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</si>
  <si>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</si>
  <si>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</si>
  <si>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</si>
  <si>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</si>
  <si>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</si>
  <si>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</si>
  <si>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</si>
  <si>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</si>
  <si>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</si>
  <si>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</si>
  <si>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</si>
  <si>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</si>
  <si>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</si>
  <si>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</si>
  <si>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</si>
  <si>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</si>
  <si>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</si>
  <si>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</si>
  <si>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</si>
  <si>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</si>
  <si>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</si>
  <si>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</si>
  <si>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</si>
  <si>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</si>
  <si>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</si>
  <si>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</si>
  <si>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</si>
  <si>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</si>
  <si>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</si>
  <si>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</si>
  <si>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</si>
  <si>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</si>
  <si>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</si>
  <si>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</si>
  <si>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</si>
  <si>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</si>
  <si>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</si>
  <si>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</si>
  <si>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</si>
  <si>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</si>
  <si>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</si>
  <si>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</si>
  <si>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</si>
  <si>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</si>
  <si>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</si>
  <si>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</si>
  <si>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</si>
  <si>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</si>
  <si>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</si>
  <si>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</si>
  <si>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</si>
  <si>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</si>
  <si>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</si>
  <si>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</si>
  <si>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</si>
  <si>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</si>
  <si>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</si>
  <si>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</si>
  <si>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</si>
  <si>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</si>
  <si>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</si>
  <si>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</si>
  <si>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</si>
  <si>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</si>
  <si>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</si>
  <si>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</si>
  <si>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</si>
  <si>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</si>
  <si>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</si>
  <si>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</si>
  <si>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</si>
  <si>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</si>
  <si>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</si>
  <si>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</si>
  <si>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</si>
  <si>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</si>
  <si>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</si>
  <si>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</si>
  <si>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</si>
  <si>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</si>
  <si>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</si>
  <si>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</si>
  <si>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</si>
  <si>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</si>
  <si>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</si>
  <si>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</si>
  <si>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</si>
  <si>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</si>
  <si>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</si>
  <si>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</si>
  <si>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</si>
  <si>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</si>
  <si>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</si>
  <si>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</si>
  <si>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</si>
  <si>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</si>
  <si>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</si>
  <si>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</si>
  <si>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</si>
  <si>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</si>
  <si>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</si>
  <si>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</si>
  <si>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</si>
  <si>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</si>
  <si>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</si>
  <si>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</si>
  <si>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</si>
  <si>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</si>
  <si>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</si>
  <si>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</si>
  <si>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</si>
  <si>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</si>
  <si>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</si>
  <si>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</si>
  <si>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</si>
  <si>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</si>
  <si>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</si>
  <si>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</si>
  <si>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</si>
  <si>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</si>
  <si>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</si>
  <si>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</si>
  <si>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</si>
  <si>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</si>
  <si>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</si>
  <si>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</si>
  <si>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</si>
  <si>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</si>
  <si>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</si>
  <si>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</si>
  <si>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</si>
  <si>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</si>
  <si>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</si>
  <si>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</si>
  <si>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</si>
  <si>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</si>
  <si>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</si>
  <si>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</si>
  <si>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</si>
  <si>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</si>
  <si>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</si>
  <si>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</si>
  <si>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</si>
  <si>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</si>
  <si>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</si>
  <si>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</si>
  <si>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</si>
  <si>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</si>
  <si>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</si>
  <si>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</si>
  <si>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</si>
  <si>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</si>
  <si>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</si>
  <si>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</si>
  <si>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</si>
  <si>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</si>
  <si>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</si>
  <si>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</si>
  <si>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</si>
  <si>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</si>
  <si>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</si>
  <si>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</si>
  <si>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</si>
  <si>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</si>
  <si>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</si>
  <si>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</si>
  <si>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</si>
  <si>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</si>
  <si>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</si>
  <si>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</si>
  <si>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</si>
  <si>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</si>
  <si>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</si>
  <si>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</si>
  <si>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</si>
  <si>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</si>
  <si>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</si>
  <si>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</si>
  <si>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</si>
  <si>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</si>
  <si>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</si>
  <si>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</si>
  <si>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</si>
  <si>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</si>
  <si>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</si>
  <si>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</si>
  <si>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</si>
  <si>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</si>
  <si>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</si>
  <si>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</si>
  <si>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</si>
  <si>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</si>
  <si>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</si>
  <si>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</si>
  <si>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</si>
  <si>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</si>
  <si>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</si>
  <si>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</si>
  <si>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</si>
  <si>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</si>
  <si>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</si>
  <si>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</si>
  <si>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</si>
  <si>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</si>
  <si>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</si>
  <si>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</si>
  <si>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</si>
  <si>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</si>
  <si>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</si>
  <si>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</si>
  <si>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</si>
  <si>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</si>
  <si>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</si>
  <si>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</si>
  <si>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</si>
  <si>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</si>
  <si>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</si>
  <si>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</si>
  <si>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</si>
  <si>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</si>
  <si>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</si>
  <si>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</si>
  <si>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</si>
  <si>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</si>
  <si>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</si>
  <si>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</si>
  <si>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</si>
  <si>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</si>
  <si>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</si>
  <si>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</si>
  <si>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</si>
  <si>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</si>
  <si>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</si>
  <si>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</si>
  <si>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</si>
  <si>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</si>
  <si>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</si>
  <si>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</si>
  <si>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</si>
  <si>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</si>
  <si>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</si>
  <si>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</si>
  <si>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</si>
  <si>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</si>
  <si>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</si>
  <si>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</si>
  <si>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</si>
  <si>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</si>
  <si>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</si>
  <si>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</si>
  <si>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</si>
  <si>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</si>
  <si>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</si>
  <si>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</si>
  <si>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</si>
  <si>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</si>
  <si>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</si>
  <si>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</si>
  <si>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</si>
  <si>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</si>
  <si>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</si>
  <si>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</si>
  <si>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</si>
  <si>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</si>
  <si>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</si>
  <si>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</si>
  <si>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</si>
  <si>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</si>
  <si>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</si>
  <si>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</si>
  <si>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</si>
  <si>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</si>
  <si>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</si>
  <si>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</si>
  <si>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</si>
  <si>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</si>
  <si>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</si>
  <si>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</si>
  <si>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</si>
  <si>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</si>
  <si>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</si>
  <si>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</si>
  <si>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</si>
  <si>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</si>
  <si>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</si>
  <si>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</si>
  <si>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</si>
  <si>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</si>
  <si>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</si>
  <si>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</si>
  <si>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</si>
  <si>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</si>
  <si>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</si>
  <si>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</si>
  <si>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</si>
  <si>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</si>
  <si>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</si>
  <si>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</si>
  <si>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</si>
  <si>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</si>
  <si>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</si>
  <si>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</si>
  <si>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</si>
  <si>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</si>
  <si>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</si>
  <si>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</si>
  <si>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</si>
  <si>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</si>
  <si>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</si>
  <si>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</si>
  <si>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</si>
  <si>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</si>
  <si>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</si>
  <si>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</si>
  <si>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</si>
  <si>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</si>
  <si>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</si>
  <si>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</si>
  <si>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</si>
  <si>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</si>
  <si>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</si>
  <si>
    <t>Total R$ Pago</t>
  </si>
  <si>
    <t>Total de Itens</t>
  </si>
  <si>
    <t>Rótulos de Linha</t>
  </si>
  <si>
    <t>Total Geral</t>
  </si>
  <si>
    <t>Soma de Total R$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</si>
</sst>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" fontId="0" fillId="0" borderId="0" xfId="0" applyNumberFormat="1"/>
    <xf numFmtId="0" fontId="13" fillId="33" borderId="10" xfId="0" applyFont="1" applyFill="1" applyBorder="1"/>
    <xf numFmtId="0" fontId="0" fillId="0" borderId="10" xfId="0" applyFont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0" formatCode="General"/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[despesa_funcaoB.xlsx]Planilha2!Tabela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33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33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Planilha2!$A$2:$A$18</c:f>
              <c:strCache>
                <c:ptCount val="16"/>
                <c:pt idx="0">
                  <c:v>Gabinete do Prefeito</c:v>
                </c:pt>
                <c:pt idx="1">
                  <c:v>SECRETARIA DE INOVAÇÃO E DESENVOLVIMENTO ECONÔMICO</c:v>
                </c:pt>
                <c:pt idx="2">
                  <c:v>SECRETARIA DE HABITAÇÃO E REGULARIZAÇÃO FUNDIÁRIA</c:v>
                </c:pt>
                <c:pt idx="3">
                  <c:v>SECRETARIA DE ASSUNTOS JURÍDICOS</c:v>
                </c:pt>
                <c:pt idx="4">
                  <c:v>SECRETARIA DE URBANISMO E SUSTENTABILIDADE</c:v>
                </c:pt>
                <c:pt idx="5">
                  <c:v>SECRETARIA DE GESTÃO DE OBRAS</c:v>
                </c:pt>
                <c:pt idx="6">
                  <c:v>SECRETARIA DE GOVERNANÇA</c:v>
                </c:pt>
                <c:pt idx="7">
                  <c:v>SECRETARIA DE PROTEÇÃO AO CIDADÃO</c:v>
                </c:pt>
                <c:pt idx="8">
                  <c:v>SECRETARIA DE ESPORTE E QUALIDADE DE VIDA</c:v>
                </c:pt>
                <c:pt idx="9">
                  <c:v>SECRETARIA DE APOIO SOCIAL AO CIDADÃO</c:v>
                </c:pt>
                <c:pt idx="10">
                  <c:v>SECRETARIA DE GESTÃO ADMINISTRATIVA E FINANÇAS</c:v>
                </c:pt>
                <c:pt idx="11">
                  <c:v>SECRETARIA DE MANUTENÇÃO DA CIDADE</c:v>
                </c:pt>
                <c:pt idx="12">
                  <c:v>SECRETARIA DE MOBILIDADE URBANA</c:v>
                </c:pt>
                <c:pt idx="13">
                  <c:v>ENCARGOS GERAIS DO MUNICÍPIO</c:v>
                </c:pt>
                <c:pt idx="14">
                  <c:v>SECRETARIA DE SAÚDE</c:v>
                </c:pt>
                <c:pt idx="15">
                  <c:v>SECRETARIA DE EDUCAÇÃO E CIDADANIA</c:v>
                </c:pt>
              </c:strCache>
            </c:strRef>
          </c:cat>
          <c:val>
            <c:numRef>
              <c:f>Planilha2!$B$2:$B$18</c:f>
              <c:numCache>
                <c:formatCode>General</c:formatCode>
                <c:ptCount val="16"/>
                <c:pt idx="0">
                  <c:v>67673.06</c:v>
                </c:pt>
                <c:pt idx="1">
                  <c:v>474178.14999999997</c:v>
                </c:pt>
                <c:pt idx="2">
                  <c:v>924217.23</c:v>
                </c:pt>
                <c:pt idx="3">
                  <c:v>1182770.0299999998</c:v>
                </c:pt>
                <c:pt idx="4">
                  <c:v>1644914.53</c:v>
                </c:pt>
                <c:pt idx="5">
                  <c:v>2361341.12</c:v>
                </c:pt>
                <c:pt idx="6">
                  <c:v>3049447.7499999995</c:v>
                </c:pt>
                <c:pt idx="7">
                  <c:v>5438913.9299999978</c:v>
                </c:pt>
                <c:pt idx="8">
                  <c:v>5975771.5599999996</c:v>
                </c:pt>
                <c:pt idx="9">
                  <c:v>8654354.950000003</c:v>
                </c:pt>
                <c:pt idx="10">
                  <c:v>8665883.370000001</c:v>
                </c:pt>
                <c:pt idx="11">
                  <c:v>25107843.960000001</c:v>
                </c:pt>
                <c:pt idx="12">
                  <c:v>30679165.420000002</c:v>
                </c:pt>
                <c:pt idx="13">
                  <c:v>37463150.299999997</c:v>
                </c:pt>
                <c:pt idx="14">
                  <c:v>84243777.629999995</c:v>
                </c:pt>
                <c:pt idx="15">
                  <c:v>97415941.840000004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C-461B-B743-564F340042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22363023"/>
        <c:axId val="1811126159"/>
      </c:barChart>
      <c:catAx>
        <c:axId val="182236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1126159"/>
        <c:crosses val="autoZero"/>
        <c:auto val="1"/>
        <c:lblAlgn val="ctr"/>
        <c:lblOffset val="100"/>
        <c:noMultiLvlLbl val="0"/>
      </c:catAx>
      <c:valAx>
        <c:axId val="18111261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223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 dpi="0" rotWithShape="1">
      <a:blip xmlns:r="http://schemas.openxmlformats.org/officeDocument/2006/relationships" r:embed="rId3">
        <a:alphaModFix amt="20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0</xdr:rowOff>
    </xdr:from>
    <xdr:to>
      <xdr:col>19</xdr:col>
      <xdr:colOff>533400</xdr:colOff>
      <xdr:row>35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255EBD-CFFE-4778-9EAE-FDA9BFF9F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094.923224537037" createdVersion="6" refreshedVersion="6" minRefreshableVersion="3" recordCount="16" xr:uid="{00000000-000A-0000-FFFF-FFFF05000000}">
  <cacheSource type="worksheet">
    <worksheetSource name="Tabela3"/>
  </cacheSource>
  <cacheFields count="3">
    <cacheField name="Secretaria" numFmtId="0">
      <sharedItems count="16">
        <s v="Gabinete do Prefeito"/>
        <s v="SECRETARIA DE GOVERNANÇA"/>
        <s v="SECRETARIA DE ASSUNTOS JURÍDICOS"/>
        <s v="SECRETARIA DE GESTÃO ADMINISTRATIVA E FINANÇAS"/>
        <s v="SECRETARIA DE URBANISMO E SUSTENTABILIDADE"/>
        <s v="SECRETARIA DE GESTÃO DE OBRAS"/>
        <s v="SECRETARIA DE EDUCAÇÃO E CIDADANIA"/>
        <s v="SECRETARIA DE ESPORTE E QUALIDADE DE VIDA"/>
        <s v="SECRETARIA DE APOIO SOCIAL AO CIDADÃO"/>
        <s v="SECRETARIA DE MANUTENÇÃO DA CIDADE"/>
        <s v="SECRETARIA DE SAÚDE"/>
        <s v="SECRETARIA DE MOBILIDADE URBANA"/>
        <s v="SECRETARIA DE INOVAÇÃO E DESENVOLVIMENTO ECONÔMICO"/>
        <s v="SECRETARIA DE PROTEÇÃO AO CIDADÃO"/>
        <s v="ENCARGOS GERAIS DO MUNICÍPIO"/>
        <s v="SECRETARIA DE HABITAÇÃO E REGULARIZAÇÃO FUNDIÁRIA"/>
      </sharedItems>
    </cacheField>
    <cacheField name="Total R$ Pago" numFmtId="164">
      <sharedItems containsSemiMixedTypes="0" containsString="0" containsNumber="1" minValue="67673.06" maxValue="97415941.840000004"/>
    </cacheField>
    <cacheField name="Total de Itens" numFmtId="0">
      <sharedItems containsSemiMixedTypes="0" containsString="0" containsNumber="1" containsInteger="1" minValue="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67673.06"/>
    <n v="1"/>
  </r>
  <r>
    <x v="1"/>
    <n v="3049447.7499999995"/>
    <n v="21"/>
  </r>
  <r>
    <x v="2"/>
    <n v="1182770.0299999998"/>
    <n v="16"/>
  </r>
  <r>
    <x v="3"/>
    <n v="8665883.370000001"/>
    <n v="16"/>
  </r>
  <r>
    <x v="4"/>
    <n v="1644914.53"/>
    <n v="16"/>
  </r>
  <r>
    <x v="5"/>
    <n v="2361341.12"/>
    <n v="13"/>
  </r>
  <r>
    <x v="6"/>
    <n v="97415941.840000004"/>
    <n v="88"/>
  </r>
  <r>
    <x v="7"/>
    <n v="5975771.5599999996"/>
    <n v="23"/>
  </r>
  <r>
    <x v="8"/>
    <n v="8654354.950000003"/>
    <n v="25"/>
  </r>
  <r>
    <x v="9"/>
    <n v="25107843.960000001"/>
    <n v="15"/>
  </r>
  <r>
    <x v="10"/>
    <n v="84243777.629999995"/>
    <n v="115"/>
  </r>
  <r>
    <x v="11"/>
    <n v="30679165.420000002"/>
    <n v="22"/>
  </r>
  <r>
    <x v="12"/>
    <n v="474178.14999999997"/>
    <n v="14"/>
  </r>
  <r>
    <x v="13"/>
    <n v="5438913.9299999978"/>
    <n v="21"/>
  </r>
  <r>
    <x v="14"/>
    <n v="37463150.299999997"/>
    <n v="24"/>
  </r>
  <r>
    <x v="15"/>
    <n v="924217.23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ela dinâmica2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8" firstHeaderRow="1" firstDataRow="1" firstDataCol="1"/>
  <pivotFields count="3">
    <pivotField axis="axisRow" showAll="0" sortType="ascending">
      <items count="17">
        <item x="14"/>
        <item x="0"/>
        <item x="8"/>
        <item x="2"/>
        <item x="6"/>
        <item x="7"/>
        <item x="3"/>
        <item x="5"/>
        <item x="1"/>
        <item x="15"/>
        <item x="12"/>
        <item x="9"/>
        <item x="11"/>
        <item x="13"/>
        <item x="1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</pivotFields>
  <rowFields count="1">
    <field x="0"/>
  </rowFields>
  <rowItems count="17">
    <i>
      <x v="1"/>
    </i>
    <i>
      <x v="10"/>
    </i>
    <i>
      <x v="9"/>
    </i>
    <i>
      <x v="3"/>
    </i>
    <i>
      <x v="15"/>
    </i>
    <i>
      <x v="7"/>
    </i>
    <i>
      <x v="8"/>
    </i>
    <i>
      <x v="13"/>
    </i>
    <i>
      <x v="5"/>
    </i>
    <i>
      <x v="2"/>
    </i>
    <i>
      <x v="6"/>
    </i>
    <i>
      <x v="11"/>
    </i>
    <i>
      <x v="12"/>
    </i>
    <i>
      <x/>
    </i>
    <i>
      <x v="14"/>
    </i>
    <i>
      <x v="4"/>
    </i>
    <i t="grand">
      <x/>
    </i>
  </rowItems>
  <colItems count="1">
    <i/>
  </colItems>
  <dataFields count="1">
    <dataField name="Soma de Total R$ Pag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K1048576" totalsRowShown="0">
  <autoFilter ref="A1:K1048576" xr:uid="{00000000-0009-0000-0100-000001000000}"/>
  <tableColumns count="11">
    <tableColumn id="1" xr3:uid="{00000000-0010-0000-0000-000001000000}" name="Ano"/>
    <tableColumn id="2" xr3:uid="{00000000-0010-0000-0000-000002000000}" name="Mês"/>
    <tableColumn id="3" xr3:uid="{00000000-0010-0000-0000-000003000000}" name="Classificação orçamentária"/>
    <tableColumn id="4" xr3:uid="{00000000-0010-0000-0000-000004000000}" name="Secretaria"/>
    <tableColumn id="5" xr3:uid="{00000000-0010-0000-0000-000005000000}" name="Função"/>
    <tableColumn id="6" xr3:uid="{00000000-0010-0000-0000-000006000000}" name="Subfunção"/>
    <tableColumn id="7" xr3:uid="{00000000-0010-0000-0000-000007000000}" name="Natureza da despesa"/>
    <tableColumn id="8" xr3:uid="{00000000-0010-0000-0000-000008000000}" name="Fonte de recurso"/>
    <tableColumn id="9" xr3:uid="{00000000-0010-0000-0000-000009000000}" name="Empenhado (R$)"/>
    <tableColumn id="10" xr3:uid="{00000000-0010-0000-0000-00000A000000}" name="Liquidado  (R$)"/>
    <tableColumn id="11" xr3:uid="{00000000-0010-0000-0000-00000B000000}" name="Pago  (R$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3" displayName="Tabela3" ref="A1:C17" totalsRowShown="0">
  <autoFilter ref="A1:C17" xr:uid="{00000000-0009-0000-0100-000003000000}"/>
  <tableColumns count="3">
    <tableColumn id="1" xr3:uid="{00000000-0010-0000-0100-000001000000}" name="Secretaria" dataDxfId="2"/>
    <tableColumn id="2" xr3:uid="{00000000-0010-0000-0100-000002000000}" name="Total R$ Pago" dataDxfId="1">
      <calculatedColumnFormula>SUMIF(Tabela1[[#All],[Secretaria]],Tabela3[[#This Row],[Secretaria]],Tabela1[[#All],[Pago  (R$)]])</calculatedColumnFormula>
    </tableColumn>
    <tableColumn id="3" xr3:uid="{00000000-0010-0000-0100-000003000000}" name="Total de Itens" dataDxfId="0">
      <calculatedColumnFormula>COUNTIF(Tabela1[[#All],[Secretaria]],Tabela3[[#This Row],[Secretaria]])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4"/>
  <sheetViews>
    <sheetView workbookViewId="0">
      <selection activeCell="D1" sqref="D1:D444"/>
    </sheetView>
  </sheetViews>
  <sheetFormatPr defaultRowHeight="15" x14ac:dyDescent="0.25"/>
  <cols>
    <col min="1" max="1" width="6.7109375" customWidth="1"/>
    <col min="2" max="2" width="6.85546875" customWidth="1"/>
    <col min="3" max="3" width="40.85546875" bestFit="1" customWidth="1"/>
    <col min="4" max="4" width="57.42578125" bestFit="1" customWidth="1"/>
    <col min="5" max="5" width="23" bestFit="1" customWidth="1"/>
    <col min="6" max="6" width="53.28515625" bestFit="1" customWidth="1"/>
    <col min="7" max="7" width="74.140625" bestFit="1" customWidth="1"/>
    <col min="8" max="8" width="86" bestFit="1" customWidth="1"/>
    <col min="9" max="9" width="17.7109375" customWidth="1"/>
    <col min="10" max="10" width="16.28515625" customWidth="1"/>
    <col min="11" max="1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R28" sqref="R28"/>
    </sheetView>
  </sheetViews>
  <sheetFormatPr defaultRowHeight="15" x14ac:dyDescent="0.25"/>
  <cols>
    <col min="1" max="1" width="57.42578125" bestFit="1" customWidth="1"/>
    <col min="2" max="2" width="15.42578125" bestFit="1" customWidth="1"/>
    <col min="3" max="3" width="15.140625" customWidth="1"/>
  </cols>
  <sheetData>
    <row r="1" spans="1:3" x14ac:dyDescent="0.25">
      <c r="A1" s="2" t="s">
        <v>3</v>
      </c>
      <c r="B1" t="s">
        <v>563</v>
      </c>
      <c r="C1" t="s">
        <v>564</v>
      </c>
    </row>
    <row r="2" spans="1:3" x14ac:dyDescent="0.25">
      <c r="A2" s="3" t="s">
        <v>12</v>
      </c>
      <c r="B2" s="4">
        <f>SUMIF(Tabela1[[#All],[Secretaria]],Tabela3[[#This Row],[Secretaria]],Tabela1[[#All],[Pago  (R$)]])</f>
        <v>67673.06</v>
      </c>
      <c r="C2">
        <f>COUNTIF(Tabela1[[#All],[Secretaria]],Tabela3[[#This Row],[Secretaria]])</f>
        <v>1</v>
      </c>
    </row>
    <row r="3" spans="1:3" x14ac:dyDescent="0.25">
      <c r="A3" s="3" t="s">
        <v>18</v>
      </c>
      <c r="B3" s="4">
        <f>SUMIF(Tabela1[[#All],[Secretaria]],Tabela3[[#This Row],[Secretaria]],Tabela1[[#All],[Pago  (R$)]])</f>
        <v>3049447.7499999995</v>
      </c>
      <c r="C3">
        <f>COUNTIF(Tabela1[[#All],[Secretaria]],Tabela3[[#This Row],[Secretaria]])</f>
        <v>21</v>
      </c>
    </row>
    <row r="4" spans="1:3" x14ac:dyDescent="0.25">
      <c r="A4" s="3" t="s">
        <v>52</v>
      </c>
      <c r="B4" s="4">
        <f>SUMIF(Tabela1[[#All],[Secretaria]],Tabela3[[#This Row],[Secretaria]],Tabela1[[#All],[Pago  (R$)]])</f>
        <v>1182770.0299999998</v>
      </c>
      <c r="C4">
        <f>COUNTIF(Tabela1[[#All],[Secretaria]],Tabela3[[#This Row],[Secretaria]])</f>
        <v>16</v>
      </c>
    </row>
    <row r="5" spans="1:3" x14ac:dyDescent="0.25">
      <c r="A5" s="3" t="s">
        <v>74</v>
      </c>
      <c r="B5" s="4">
        <f>SUMIF(Tabela1[[#All],[Secretaria]],Tabela3[[#This Row],[Secretaria]],Tabela1[[#All],[Pago  (R$)]])</f>
        <v>8665883.370000001</v>
      </c>
      <c r="C5">
        <f>COUNTIF(Tabela1[[#All],[Secretaria]],Tabela3[[#This Row],[Secretaria]])</f>
        <v>16</v>
      </c>
    </row>
    <row r="6" spans="1:3" x14ac:dyDescent="0.25">
      <c r="A6" s="3" t="s">
        <v>92</v>
      </c>
      <c r="B6" s="4">
        <f>SUMIF(Tabela1[[#All],[Secretaria]],Tabela3[[#This Row],[Secretaria]],Tabela1[[#All],[Pago  (R$)]])</f>
        <v>1644914.53</v>
      </c>
      <c r="C6">
        <f>COUNTIF(Tabela1[[#All],[Secretaria]],Tabela3[[#This Row],[Secretaria]])</f>
        <v>16</v>
      </c>
    </row>
    <row r="7" spans="1:3" x14ac:dyDescent="0.25">
      <c r="A7" s="3" t="s">
        <v>115</v>
      </c>
      <c r="B7" s="4">
        <f>SUMIF(Tabela1[[#All],[Secretaria]],Tabela3[[#This Row],[Secretaria]],Tabela1[[#All],[Pago  (R$)]])</f>
        <v>2361341.12</v>
      </c>
      <c r="C7">
        <f>COUNTIF(Tabela1[[#All],[Secretaria]],Tabela3[[#This Row],[Secretaria]])</f>
        <v>13</v>
      </c>
    </row>
    <row r="8" spans="1:3" x14ac:dyDescent="0.25">
      <c r="A8" s="3" t="s">
        <v>131</v>
      </c>
      <c r="B8" s="4">
        <f>SUMIF(Tabela1[[#All],[Secretaria]],Tabela3[[#This Row],[Secretaria]],Tabela1[[#All],[Pago  (R$)]])</f>
        <v>97415941.840000004</v>
      </c>
      <c r="C8">
        <f>COUNTIF(Tabela1[[#All],[Secretaria]],Tabela3[[#This Row],[Secretaria]])</f>
        <v>88</v>
      </c>
    </row>
    <row r="9" spans="1:3" x14ac:dyDescent="0.25">
      <c r="A9" s="3" t="s">
        <v>236</v>
      </c>
      <c r="B9" s="4">
        <f>SUMIF(Tabela1[[#All],[Secretaria]],Tabela3[[#This Row],[Secretaria]],Tabela1[[#All],[Pago  (R$)]])</f>
        <v>5975771.5599999996</v>
      </c>
      <c r="C9">
        <f>COUNTIF(Tabela1[[#All],[Secretaria]],Tabela3[[#This Row],[Secretaria]])</f>
        <v>23</v>
      </c>
    </row>
    <row r="10" spans="1:3" x14ac:dyDescent="0.25">
      <c r="A10" s="3" t="s">
        <v>262</v>
      </c>
      <c r="B10" s="4">
        <f>SUMIF(Tabela1[[#All],[Secretaria]],Tabela3[[#This Row],[Secretaria]],Tabela1[[#All],[Pago  (R$)]])</f>
        <v>8654354.950000003</v>
      </c>
      <c r="C10">
        <f>COUNTIF(Tabela1[[#All],[Secretaria]],Tabela3[[#This Row],[Secretaria]])</f>
        <v>25</v>
      </c>
    </row>
    <row r="11" spans="1:3" x14ac:dyDescent="0.25">
      <c r="A11" s="3" t="s">
        <v>291</v>
      </c>
      <c r="B11" s="4">
        <f>SUMIF(Tabela1[[#All],[Secretaria]],Tabela3[[#This Row],[Secretaria]],Tabela1[[#All],[Pago  (R$)]])</f>
        <v>25107843.960000001</v>
      </c>
      <c r="C11">
        <f>COUNTIF(Tabela1[[#All],[Secretaria]],Tabela3[[#This Row],[Secretaria]])</f>
        <v>15</v>
      </c>
    </row>
    <row r="12" spans="1:3" x14ac:dyDescent="0.25">
      <c r="A12" s="3" t="s">
        <v>310</v>
      </c>
      <c r="B12" s="4">
        <f>SUMIF(Tabela1[[#All],[Secretaria]],Tabela3[[#This Row],[Secretaria]],Tabela1[[#All],[Pago  (R$)]])</f>
        <v>84243777.629999995</v>
      </c>
      <c r="C12">
        <f>COUNTIF(Tabela1[[#All],[Secretaria]],Tabela3[[#This Row],[Secretaria]])</f>
        <v>115</v>
      </c>
    </row>
    <row r="13" spans="1:3" x14ac:dyDescent="0.25">
      <c r="A13" s="3" t="s">
        <v>438</v>
      </c>
      <c r="B13" s="4">
        <f>SUMIF(Tabela1[[#All],[Secretaria]],Tabela3[[#This Row],[Secretaria]],Tabela1[[#All],[Pago  (R$)]])</f>
        <v>30679165.420000002</v>
      </c>
      <c r="C13">
        <f>COUNTIF(Tabela1[[#All],[Secretaria]],Tabela3[[#This Row],[Secretaria]])</f>
        <v>22</v>
      </c>
    </row>
    <row r="14" spans="1:3" x14ac:dyDescent="0.25">
      <c r="A14" s="3" t="s">
        <v>464</v>
      </c>
      <c r="B14" s="4">
        <f>SUMIF(Tabela1[[#All],[Secretaria]],Tabela3[[#This Row],[Secretaria]],Tabela1[[#All],[Pago  (R$)]])</f>
        <v>474178.14999999997</v>
      </c>
      <c r="C14">
        <f>COUNTIF(Tabela1[[#All],[Secretaria]],Tabela3[[#This Row],[Secretaria]])</f>
        <v>14</v>
      </c>
    </row>
    <row r="15" spans="1:3" x14ac:dyDescent="0.25">
      <c r="A15" s="3" t="s">
        <v>486</v>
      </c>
      <c r="B15" s="4">
        <f>SUMIF(Tabela1[[#All],[Secretaria]],Tabela3[[#This Row],[Secretaria]],Tabela1[[#All],[Pago  (R$)]])</f>
        <v>5438913.9299999978</v>
      </c>
      <c r="C15">
        <f>COUNTIF(Tabela1[[#All],[Secretaria]],Tabela3[[#This Row],[Secretaria]])</f>
        <v>21</v>
      </c>
    </row>
    <row r="16" spans="1:3" x14ac:dyDescent="0.25">
      <c r="A16" s="3" t="s">
        <v>510</v>
      </c>
      <c r="B16" s="4">
        <f>SUMIF(Tabela1[[#All],[Secretaria]],Tabela3[[#This Row],[Secretaria]],Tabela1[[#All],[Pago  (R$)]])</f>
        <v>37463150.299999997</v>
      </c>
      <c r="C16">
        <f>COUNTIF(Tabela1[[#All],[Secretaria]],Tabela3[[#This Row],[Secretaria]])</f>
        <v>24</v>
      </c>
    </row>
    <row r="17" spans="1:3" x14ac:dyDescent="0.25">
      <c r="A17" s="3" t="s">
        <v>548</v>
      </c>
      <c r="B17" s="4">
        <f>SUMIF(Tabela1[[#All],[Secretaria]],Tabela3[[#This Row],[Secretaria]],Tabela1[[#All],[Pago  (R$)]])</f>
        <v>924217.23</v>
      </c>
      <c r="C17">
        <f>COUNTIF(Tabela1[[#All],[Secretaria]],Tabela3[[#This Row],[Secretaria]])</f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tabSelected="1" workbookViewId="0">
      <selection activeCell="A27" sqref="A27"/>
    </sheetView>
  </sheetViews>
  <sheetFormatPr defaultRowHeight="15" x14ac:dyDescent="0.25"/>
  <cols>
    <col min="1" max="1" width="57.42578125" bestFit="1" customWidth="1"/>
    <col min="2" max="2" width="21" bestFit="1" customWidth="1"/>
  </cols>
  <sheetData>
    <row r="1" spans="1:2" x14ac:dyDescent="0.25">
      <c r="A1" s="5" t="s">
        <v>565</v>
      </c>
      <c r="B1" t="s">
        <v>567</v>
      </c>
    </row>
    <row r="2" spans="1:2" x14ac:dyDescent="0.25">
      <c r="A2" s="6" t="s">
        <v>12</v>
      </c>
      <c r="B2" s="7">
        <v>67673.06</v>
      </c>
    </row>
    <row r="3" spans="1:2" x14ac:dyDescent="0.25">
      <c r="A3" s="6" t="s">
        <v>464</v>
      </c>
      <c r="B3" s="7">
        <v>474178.14999999997</v>
      </c>
    </row>
    <row r="4" spans="1:2" x14ac:dyDescent="0.25">
      <c r="A4" s="6" t="s">
        <v>548</v>
      </c>
      <c r="B4" s="7">
        <v>924217.23</v>
      </c>
    </row>
    <row r="5" spans="1:2" x14ac:dyDescent="0.25">
      <c r="A5" s="6" t="s">
        <v>52</v>
      </c>
      <c r="B5" s="7">
        <v>1182770.0299999998</v>
      </c>
    </row>
    <row r="6" spans="1:2" x14ac:dyDescent="0.25">
      <c r="A6" s="6" t="s">
        <v>92</v>
      </c>
      <c r="B6" s="7">
        <v>1644914.53</v>
      </c>
    </row>
    <row r="7" spans="1:2" x14ac:dyDescent="0.25">
      <c r="A7" s="6" t="s">
        <v>115</v>
      </c>
      <c r="B7" s="7">
        <v>2361341.12</v>
      </c>
    </row>
    <row r="8" spans="1:2" x14ac:dyDescent="0.25">
      <c r="A8" s="6" t="s">
        <v>18</v>
      </c>
      <c r="B8" s="7">
        <v>3049447.7499999995</v>
      </c>
    </row>
    <row r="9" spans="1:2" x14ac:dyDescent="0.25">
      <c r="A9" s="6" t="s">
        <v>486</v>
      </c>
      <c r="B9" s="7">
        <v>5438913.9299999978</v>
      </c>
    </row>
    <row r="10" spans="1:2" x14ac:dyDescent="0.25">
      <c r="A10" s="6" t="s">
        <v>236</v>
      </c>
      <c r="B10" s="7">
        <v>5975771.5599999996</v>
      </c>
    </row>
    <row r="11" spans="1:2" x14ac:dyDescent="0.25">
      <c r="A11" s="6" t="s">
        <v>262</v>
      </c>
      <c r="B11" s="7">
        <v>8654354.950000003</v>
      </c>
    </row>
    <row r="12" spans="1:2" x14ac:dyDescent="0.25">
      <c r="A12" s="6" t="s">
        <v>74</v>
      </c>
      <c r="B12" s="7">
        <v>8665883.370000001</v>
      </c>
    </row>
    <row r="13" spans="1:2" x14ac:dyDescent="0.25">
      <c r="A13" s="6" t="s">
        <v>291</v>
      </c>
      <c r="B13" s="7">
        <v>25107843.960000001</v>
      </c>
    </row>
    <row r="14" spans="1:2" x14ac:dyDescent="0.25">
      <c r="A14" s="6" t="s">
        <v>438</v>
      </c>
      <c r="B14" s="7">
        <v>30679165.420000002</v>
      </c>
    </row>
    <row r="15" spans="1:2" x14ac:dyDescent="0.25">
      <c r="A15" s="6" t="s">
        <v>510</v>
      </c>
      <c r="B15" s="7">
        <v>37463150.299999997</v>
      </c>
    </row>
    <row r="16" spans="1:2" x14ac:dyDescent="0.25">
      <c r="A16" s="6" t="s">
        <v>310</v>
      </c>
      <c r="B16" s="7">
        <v>84243777.629999995</v>
      </c>
    </row>
    <row r="17" spans="1:2" x14ac:dyDescent="0.25">
      <c r="A17" s="6" t="s">
        <v>131</v>
      </c>
      <c r="B17" s="7">
        <v>97415941.840000004</v>
      </c>
    </row>
    <row r="18" spans="1:2" x14ac:dyDescent="0.25">
      <c r="A18" s="6" t="s">
        <v>566</v>
      </c>
      <c r="B18" s="7">
        <v>313349344.82999998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despesa_funcao</vt:lpstr>
      <vt:lpstr>Análise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2026-03-13T23:52:38Z</dcterms:created>
  <dcterms:modified xsi:type="dcterms:W3CDTF">2026-03-14T01:09:54Z</dcterms:modified>
</cp:coreProperties>
</file>